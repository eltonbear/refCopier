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" windowWidth="16092" windowHeight="9660"/>
  </bookViews>
  <sheets>
    <sheet name="Reference_copying" sheetId="1" r:id="rId1"/>
  </sheets>
  <calcPr calcId="145621"/>
</workbook>
</file>

<file path=xl/calcChain.xml><?xml version="1.0" encoding="utf-8"?>
<calcChain xmlns="http://schemas.openxmlformats.org/spreadsheetml/2006/main">
  <c r="H10" i="1" l="1"/>
  <c r="E10" i="1"/>
  <c r="H9" i="1"/>
  <c r="H8" i="1"/>
  <c r="E8" i="1"/>
  <c r="H7" i="1"/>
  <c r="E7" i="1"/>
  <c r="H6" i="1"/>
  <c r="H5" i="1"/>
  <c r="H4" i="1"/>
  <c r="H3" i="1"/>
  <c r="H2" i="1"/>
</calcChain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E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7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0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<sst xmlns="http://schemas.openxmlformats.org/spreadsheetml/2006/main" count="36" uniqueCount="16">
  <si>
    <t>Status</t>
  </si>
  <si>
    <t>Reference Number (R)</t>
  </si>
  <si>
    <t>Copy (R)</t>
  </si>
  <si>
    <t>Reference Type</t>
  </si>
  <si>
    <t>Dependent On (R)</t>
  </si>
  <si>
    <t>Wire S Count</t>
  </si>
  <si>
    <t>Wire D Count</t>
  </si>
  <si>
    <t>Wire New D Count</t>
  </si>
  <si>
    <t>Wire Count</t>
  </si>
  <si>
    <t>XML: C:/Users/eltoshon/Desktop/programTestiing/xmltest4.xml</t>
  </si>
  <si>
    <t>existing</t>
  </si>
  <si>
    <t>BLOCKED</t>
  </si>
  <si>
    <t>Default</t>
  </si>
  <si>
    <t>1</t>
  </si>
  <si>
    <t>missing</t>
  </si>
  <si>
    <t>appending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</si>
</sst>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5" fillId="4" borderId="2" xfId="0" applyFont="1" applyFill="1" applyBorder="1" applyAlignment="1">
      <alignment horizontal="center" vertical="center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hidden="1"/>
    </xf>
    <xf numFmtId="0" fontId="0" fillId="4" borderId="2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hidden="1"/>
    </xf>
    <xf numFmtId="0" fontId="3" fillId="6" borderId="3" xfId="0" applyFont="1" applyFill="1" applyBorder="1" applyAlignment="1">
      <alignment horizontal="center"/>
    </xf>
    <xf numFmtId="0" fontId="0" fillId="6" borderId="3" xfId="0" applyFill="1" applyBorder="1" applyAlignment="1" applyProtection="1">
      <alignment horizontal="center"/>
    </xf>
    <xf numFmtId="0" fontId="0" fillId="6" borderId="3" xfId="0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"/>
      <protection hidden="1"/>
    </xf>
    <xf numFmtId="0" fontId="0" fillId="0" borderId="0" xfId="0"/>
  </cellXfs>
  <cellStyles count="1">
    <cellStyle name="Normal" xfId="0" builtinId="0"/>
  </cellStyles>
  <dxfs count="18"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UnAppend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3"/>
  <sheetViews>
    <sheetView tabSelected="1" workbookViewId="0">
      <selection activeCell="I1" sqref="I1:I3"/>
    </sheetView>
  </sheetViews>
  <sheetFormatPr defaultRowHeight="14.4" x14ac:dyDescent="0.3"/>
  <cols>
    <col min="1" max="1" width="10.6640625" customWidth="1"/>
    <col min="2" max="2" width="20.6640625" customWidth="1"/>
    <col min="4" max="4" width="15.6640625" customWidth="1"/>
    <col min="5" max="5" width="17.6640625" customWidth="1"/>
    <col min="6" max="7" width="13.6640625" customWidth="1"/>
    <col min="8" max="8" width="17.6640625" customWidth="1"/>
    <col min="12" max="12" width="10.6640625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>
        <v>10</v>
      </c>
      <c r="L1" t="s">
        <v>9</v>
      </c>
      <c r="U1" s="2">
        <v>1</v>
      </c>
      <c r="V1" s="2">
        <v>6</v>
      </c>
    </row>
    <row r="2" spans="1:22" x14ac:dyDescent="0.3">
      <c r="A2" s="2" t="s">
        <v>10</v>
      </c>
      <c r="B2" s="3">
        <v>1</v>
      </c>
      <c r="C2" s="4" t="s">
        <v>11</v>
      </c>
      <c r="D2" s="5" t="s">
        <v>12</v>
      </c>
      <c r="E2" s="3"/>
      <c r="F2" s="3">
        <v>0</v>
      </c>
      <c r="G2" s="3">
        <v>0</v>
      </c>
      <c r="H2" s="6">
        <f>IF(COUNTIF(C2:C13, 1) &gt; 0, 0, 0)</f>
        <v>0</v>
      </c>
      <c r="I2" s="2">
        <v>10</v>
      </c>
      <c r="U2" s="2">
        <v>2</v>
      </c>
    </row>
    <row r="3" spans="1:22" x14ac:dyDescent="0.3">
      <c r="A3" s="2" t="s">
        <v>10</v>
      </c>
      <c r="B3" s="3">
        <v>2</v>
      </c>
      <c r="C3" s="4" t="s">
        <v>11</v>
      </c>
      <c r="D3" s="5" t="s">
        <v>12</v>
      </c>
      <c r="E3" s="3" t="s">
        <v>13</v>
      </c>
      <c r="F3" s="3">
        <v>1</v>
      </c>
      <c r="G3" s="3">
        <v>1</v>
      </c>
      <c r="H3" s="6">
        <f>IF(COUNTIF(C2:C13, 2) &gt; 0, 0, 1)</f>
        <v>1</v>
      </c>
      <c r="I3" s="2">
        <v>13</v>
      </c>
      <c r="L3" s="3" t="s">
        <v>8</v>
      </c>
      <c r="U3" s="2">
        <v>3</v>
      </c>
    </row>
    <row r="4" spans="1:22" x14ac:dyDescent="0.3">
      <c r="A4" s="2" t="s">
        <v>10</v>
      </c>
      <c r="B4" s="3">
        <v>3</v>
      </c>
      <c r="C4" s="4" t="s">
        <v>11</v>
      </c>
      <c r="D4" s="5" t="s">
        <v>12</v>
      </c>
      <c r="E4" s="3" t="s">
        <v>13</v>
      </c>
      <c r="F4" s="3">
        <v>3</v>
      </c>
      <c r="G4" s="3">
        <v>1</v>
      </c>
      <c r="H4" s="6">
        <f>IF(COUNTIF(C2:C13, 3) &gt; 0, 0, 1)</f>
        <v>1</v>
      </c>
      <c r="L4" s="3">
        <v>8</v>
      </c>
      <c r="U4" s="2">
        <v>4</v>
      </c>
    </row>
    <row r="5" spans="1:22" x14ac:dyDescent="0.3">
      <c r="A5" s="2" t="s">
        <v>10</v>
      </c>
      <c r="B5" s="3">
        <v>4</v>
      </c>
      <c r="C5" s="4" t="s">
        <v>11</v>
      </c>
      <c r="D5" s="5" t="s">
        <v>12</v>
      </c>
      <c r="E5" s="3" t="s">
        <v>13</v>
      </c>
      <c r="F5" s="3">
        <v>3</v>
      </c>
      <c r="G5" s="3">
        <v>1</v>
      </c>
      <c r="H5" s="6">
        <f>IF(COUNTIF(C2:C13, 4) &gt; 0, 0, 1)</f>
        <v>1</v>
      </c>
      <c r="U5" s="2">
        <v>5</v>
      </c>
    </row>
    <row r="6" spans="1:22" x14ac:dyDescent="0.3">
      <c r="A6" s="2" t="s">
        <v>10</v>
      </c>
      <c r="B6" s="3">
        <v>5</v>
      </c>
      <c r="C6" s="4" t="s">
        <v>11</v>
      </c>
      <c r="D6" s="5" t="s">
        <v>12</v>
      </c>
      <c r="E6" s="3" t="s">
        <v>13</v>
      </c>
      <c r="F6" s="3">
        <v>1</v>
      </c>
      <c r="G6" s="3">
        <v>1</v>
      </c>
      <c r="H6" s="6">
        <f>IF(COUNTIF(C2:C13, 5) &gt; 0, 0, 1)</f>
        <v>1</v>
      </c>
      <c r="U6" s="2">
        <v>8</v>
      </c>
    </row>
    <row r="7" spans="1:22" x14ac:dyDescent="0.3">
      <c r="A7" s="7" t="s">
        <v>14</v>
      </c>
      <c r="B7" s="7">
        <v>6</v>
      </c>
      <c r="C7" s="8"/>
      <c r="D7" s="8"/>
      <c r="E7" s="9">
        <f>C7</f>
        <v>0</v>
      </c>
      <c r="F7" s="10">
        <v>0</v>
      </c>
      <c r="G7" s="10">
        <v>0</v>
      </c>
      <c r="H7" s="9">
        <f ca="1">IF(ISBLANK(C7), 0, INDIRECT("G"&amp; C7+1))</f>
        <v>0</v>
      </c>
    </row>
    <row r="8" spans="1:22" x14ac:dyDescent="0.3">
      <c r="A8" s="7" t="s">
        <v>14</v>
      </c>
      <c r="B8" s="7">
        <v>7</v>
      </c>
      <c r="C8" s="8"/>
      <c r="D8" s="8"/>
      <c r="E8" s="9">
        <f>C8</f>
        <v>0</v>
      </c>
      <c r="F8" s="10">
        <v>0</v>
      </c>
      <c r="G8" s="10">
        <v>0</v>
      </c>
      <c r="H8" s="9">
        <f ca="1">IF(ISBLANK(C8), 0, INDIRECT("G"&amp; C8+1))</f>
        <v>0</v>
      </c>
    </row>
    <row r="9" spans="1:22" x14ac:dyDescent="0.3">
      <c r="A9" s="2" t="s">
        <v>10</v>
      </c>
      <c r="B9" s="3">
        <v>8</v>
      </c>
      <c r="C9" s="4" t="s">
        <v>11</v>
      </c>
      <c r="D9" s="5" t="s">
        <v>12</v>
      </c>
      <c r="E9" s="3" t="s">
        <v>13</v>
      </c>
      <c r="F9" s="3">
        <v>0</v>
      </c>
      <c r="G9" s="3">
        <v>4</v>
      </c>
      <c r="H9" s="6">
        <f>IF(COUNTIF(C2:C13, 8) &gt; 0, 0, 4)</f>
        <v>4</v>
      </c>
    </row>
    <row r="10" spans="1:22" x14ac:dyDescent="0.3">
      <c r="A10" s="11" t="s">
        <v>15</v>
      </c>
      <c r="B10" s="11">
        <v>9</v>
      </c>
      <c r="C10" s="12"/>
      <c r="D10" s="12"/>
      <c r="E10" s="13">
        <f>C10</f>
        <v>0</v>
      </c>
      <c r="F10" s="13">
        <v>0</v>
      </c>
      <c r="G10" s="13">
        <v>0</v>
      </c>
      <c r="H10" s="13">
        <f ca="1">IF(ISBLANK(C10), 0, INDIRECT("G"&amp; C10+1))</f>
        <v>0</v>
      </c>
      <c r="J10" s="18"/>
      <c r="K10" s="18"/>
    </row>
    <row r="11" spans="1:22" x14ac:dyDescent="0.3">
      <c r="A11" s="14"/>
      <c r="B11" s="14"/>
      <c r="C11" s="15"/>
      <c r="D11" s="15"/>
      <c r="E11" s="17"/>
      <c r="F11" s="16"/>
      <c r="G11" s="16"/>
      <c r="H11" s="16"/>
    </row>
    <row r="12" spans="1:22" x14ac:dyDescent="0.3">
      <c r="A12" s="14"/>
      <c r="B12" s="14"/>
      <c r="C12" s="15"/>
      <c r="D12" s="15"/>
      <c r="E12" s="17"/>
      <c r="F12" s="16"/>
      <c r="G12" s="16"/>
      <c r="H12" s="16"/>
    </row>
    <row r="13" spans="1:22" x14ac:dyDescent="0.3">
      <c r="A13" s="14"/>
      <c r="B13" s="14"/>
      <c r="C13" s="15"/>
      <c r="D13" s="15"/>
      <c r="E13" s="17"/>
      <c r="F13" s="16"/>
      <c r="G13" s="16"/>
      <c r="H13" s="16"/>
    </row>
  </sheetData>
  <sheetProtection password="C7A4" sheet="1" objects="1" scenarios="1"/>
  <mergeCells count="1">
    <mergeCell ref="J10:K10"/>
  </mergeCells>
  <conditionalFormatting sqref="E10">
    <cfRule type="expression" dxfId="17" priority="3">
      <formula>AND(ISBLANK(C10), NOT(ISBLANK(A10)))</formula>
    </cfRule>
  </conditionalFormatting>
  <conditionalFormatting sqref="E11">
    <cfRule type="expression" dxfId="16" priority="7">
      <formula>AND(ISBLANK(C11), NOT(ISBLANK(A11)))</formula>
    </cfRule>
  </conditionalFormatting>
  <conditionalFormatting sqref="E12">
    <cfRule type="expression" dxfId="15" priority="11">
      <formula>AND(ISBLANK(C12), NOT(ISBLANK(A12)))</formula>
    </cfRule>
  </conditionalFormatting>
  <conditionalFormatting sqref="E13">
    <cfRule type="expression" dxfId="14" priority="15">
      <formula>AND(ISBLANK(C13), NOT(ISBLANK(A13)))</formula>
    </cfRule>
  </conditionalFormatting>
  <conditionalFormatting sqref="E7">
    <cfRule type="cellIs" dxfId="13" priority="1" operator="equal">
      <formula>0</formula>
    </cfRule>
  </conditionalFormatting>
  <conditionalFormatting sqref="E8">
    <cfRule type="cellIs" dxfId="12" priority="2" operator="equal">
      <formula>0</formula>
    </cfRule>
  </conditionalFormatting>
  <conditionalFormatting sqref="F10">
    <cfRule type="expression" dxfId="11" priority="4">
      <formula>AND(ISBLANK(C10), NOT(ISBLANK(A10)))</formula>
    </cfRule>
  </conditionalFormatting>
  <conditionalFormatting sqref="F11">
    <cfRule type="expression" dxfId="10" priority="8">
      <formula>AND(ISBLANK(C11), NOT(ISBLANK(A11)))</formula>
    </cfRule>
  </conditionalFormatting>
  <conditionalFormatting sqref="F12">
    <cfRule type="expression" dxfId="9" priority="12">
      <formula>AND(ISBLANK(C12), NOT(ISBLANK(A12)))</formula>
    </cfRule>
  </conditionalFormatting>
  <conditionalFormatting sqref="F13">
    <cfRule type="expression" dxfId="8" priority="16">
      <formula>AND(ISBLANK(C13), NOT(ISBLANK(A13)))</formula>
    </cfRule>
  </conditionalFormatting>
  <conditionalFormatting sqref="G10">
    <cfRule type="expression" dxfId="7" priority="5">
      <formula>AND(ISBLANK(C10), NOT(ISBLANK(A10)))</formula>
    </cfRule>
  </conditionalFormatting>
  <conditionalFormatting sqref="G11">
    <cfRule type="expression" dxfId="6" priority="9">
      <formula>AND(ISBLANK(C11), NOT(ISBLANK(A11)))</formula>
    </cfRule>
  </conditionalFormatting>
  <conditionalFormatting sqref="G12">
    <cfRule type="expression" dxfId="5" priority="13">
      <formula>AND(ISBLANK(C12), NOT(ISBLANK(A12)))</formula>
    </cfRule>
  </conditionalFormatting>
  <conditionalFormatting sqref="G13">
    <cfRule type="expression" dxfId="4" priority="17">
      <formula>AND(ISBLANK(C13), NOT(ISBLANK(A13)))</formula>
    </cfRule>
  </conditionalFormatting>
  <conditionalFormatting sqref="H10">
    <cfRule type="expression" dxfId="3" priority="6">
      <formula>AND(ISBLANK(C10), NOT(ISBLANK(A10)))</formula>
    </cfRule>
  </conditionalFormatting>
  <conditionalFormatting sqref="H11">
    <cfRule type="expression" dxfId="2" priority="10">
      <formula>AND(ISBLANK(C11), NOT(ISBLANK(A11)))</formula>
    </cfRule>
  </conditionalFormatting>
  <conditionalFormatting sqref="H12">
    <cfRule type="expression" dxfId="1" priority="14">
      <formula>AND(ISBLANK(C12), NOT(ISBLANK(A12)))</formula>
    </cfRule>
  </conditionalFormatting>
  <conditionalFormatting sqref="H13">
    <cfRule type="expression" dxfId="0" priority="18">
      <formula>AND(ISBLANK(C13), NOT(ISBLANK(A13)))</formula>
    </cfRule>
  </conditionalFormatting>
  <dataValidations count="12">
    <dataValidation type="list" allowBlank="1" showDropDown="1" showInputMessage="1" showErrorMessage="1" errorTitle="Warning" error="Reference does not exist!" sqref="E2">
      <formula1>"1,2,3,4,5,8"</formula1>
    </dataValidation>
    <dataValidation type="list" allowBlank="1" showDropDown="1" showInputMessage="1" showErrorMessage="1" errorTitle="Warning" error="Reference does not exist!" sqref="E3">
      <formula1>"1,2,3,4,5,8"</formula1>
    </dataValidation>
    <dataValidation type="list" allowBlank="1" showDropDown="1" showInputMessage="1" showErrorMessage="1" errorTitle="Warning" error="Reference does not exist!" sqref="E4">
      <formula1>"1,2,3,4,5,8"</formula1>
    </dataValidation>
    <dataValidation type="list" allowBlank="1" showDropDown="1" showInputMessage="1" showErrorMessage="1" errorTitle="Warning" error="Reference does not exist!" sqref="E5">
      <formula1>"1,2,3,4,5,8"</formula1>
    </dataValidation>
    <dataValidation type="list" allowBlank="1" showDropDown="1" showInputMessage="1" showErrorMessage="1" errorTitle="Warning" error="Reference does not exist!" sqref="E6">
      <formula1>"1,2,3,4,5,8"</formula1>
    </dataValidation>
    <dataValidation type="custom" allowBlank="1" showInputMessage="1" showErrorMessage="1" errorTitle="Warning" error="Reference number does not exist or Duplicates!" sqref="C7">
      <formula1>AND(COUNTIF($C$2:$C$13,C7)=1, COUNTIF($U$1:$U$6,C7)=1)</formula1>
    </dataValidation>
    <dataValidation type="custom" allowBlank="1" showInputMessage="1" showErrorMessage="1" errorTitle="Warning" error="Reference number does not exist or Duplicates!" sqref="C8">
      <formula1>AND(COUNTIF($C$2:$C$13,C8)=1, COUNTIF($U$1:$U$6,C8)=1)</formula1>
    </dataValidation>
    <dataValidation type="list" allowBlank="1" showDropDown="1" showInputMessage="1" showErrorMessage="1" errorTitle="Warning" error="Reference does not exist!" sqref="E9">
      <formula1>"1,2,3,4,5,8"</formula1>
    </dataValidation>
    <dataValidation type="custom" allowBlank="1" showInputMessage="1" showErrorMessage="1" errorTitle="Warning" error="Reference number does not exist or Duplicates!" sqref="C10">
      <formula1>AND(COUNTIF($C$2:$C$13,C10)=1, COUNTIF($U$1:$U$6,C10)=1)</formula1>
    </dataValidation>
    <dataValidation type="custom" allowBlank="1" showInputMessage="1" showErrorMessage="1" errorTitle="Warning" error="Reference number does not exist or Duplicates!" sqref="C11">
      <formula1>AND(COUNTIF($C$2:$C$13,C11)=1, COUNTIF($U$1:$U$6,C11)=1)</formula1>
    </dataValidation>
    <dataValidation type="custom" allowBlank="1" showInputMessage="1" showErrorMessage="1" errorTitle="Warning" error="Reference number does not exist or Duplicates!" sqref="C12">
      <formula1>AND(COUNTIF($C$2:$C$13,C12)=1, COUNTIF($U$1:$U$6,C12)=1)</formula1>
    </dataValidation>
    <dataValidation type="custom" allowBlank="1" showInputMessage="1" showErrorMessage="1" errorTitle="Warning" error="Reference number does not exist or Duplicates!" sqref="C13">
      <formula1>AND(COUNTIF($C$2:$C$13,C13)=1, COUNTIF($U$1:$U$6,C13)=1)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endARow">
                <anchor moveWithCells="1" siz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doRow">
                <anchor moveWithCells="1" siz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SHON,ELTON (K-SantaRosa,ex1)</cp:lastModifiedBy>
  <dcterms:created xsi:type="dcterms:W3CDTF">2016-08-08T14:08:59Z</dcterms:created>
  <dcterms:modified xsi:type="dcterms:W3CDTF">2016-08-08T14:32:53Z</dcterms:modified>
</cp:coreProperties>
</file>